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nathanatwell/My Drive/Home/negogos/OB581/_static/NoCode/"/>
    </mc:Choice>
  </mc:AlternateContent>
  <xr:revisionPtr revIDLastSave="0" documentId="13_ncr:1_{49967D40-3B85-1045-AD2E-6AFA0A553F95}" xr6:coauthVersionLast="47" xr6:coauthVersionMax="47" xr10:uidLastSave="{00000000-0000-0000-0000-000000000000}"/>
  <bookViews>
    <workbookView xWindow="19700" yWindow="3320" windowWidth="28800" windowHeight="17500" xr2:uid="{ED416F58-E6F8-FF4F-842A-87CC833566AD}"/>
  </bookViews>
  <sheets>
    <sheet name="Sproles' Input Sheet" sheetId="1" r:id="rId1"/>
    <sheet name="Point System Weightings" sheetId="2" state="hidden" r:id="rId2"/>
  </sheets>
  <definedNames>
    <definedName name="solver_adj" localSheetId="0" hidden="1">'Sproles'' Input Sheet'!$C$6:$C$8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'Sproles'' Input Sheet'!#REF!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1</definedName>
    <definedName name="solver_opt" localSheetId="0" hidden="1">'Sproles'' Input Sheet'!$D$13</definedName>
    <definedName name="solver_pre" localSheetId="0" hidden="1">0.000001</definedName>
    <definedName name="solver_rbv" localSheetId="0" hidden="1">1</definedName>
    <definedName name="solver_rel1" localSheetId="0" hidden="1">2</definedName>
    <definedName name="solver_rhs1" localSheetId="0" hidden="1">'Sproles'' Input Sheet'!$D$11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3" i="2" l="1"/>
  <c r="C28" i="2"/>
  <c r="C18" i="2"/>
  <c r="D8" i="1" l="1"/>
  <c r="D9" i="1"/>
  <c r="C34" i="2"/>
  <c r="D10" i="1" s="1"/>
  <c r="B13" i="2"/>
  <c r="D7" i="1" s="1"/>
  <c r="B4" i="2" l="1"/>
  <c r="C9" i="2" s="1"/>
  <c r="D6" i="1" s="1"/>
  <c r="D11" i="1" l="1"/>
</calcChain>
</file>

<file path=xl/sharedStrings.xml><?xml version="1.0" encoding="utf-8"?>
<sst xmlns="http://schemas.openxmlformats.org/spreadsheetml/2006/main" count="45" uniqueCount="28">
  <si>
    <t>Inputs</t>
  </si>
  <si>
    <t>Sproles' Points</t>
  </si>
  <si>
    <t>Salary ($)</t>
  </si>
  <si>
    <t>Equity (%)</t>
  </si>
  <si>
    <t>Remote Work</t>
  </si>
  <si>
    <t>2-3 days per week</t>
  </si>
  <si>
    <t>Start Date</t>
  </si>
  <si>
    <t>Total</t>
  </si>
  <si>
    <t>Point System Weightings</t>
  </si>
  <si>
    <t>Salary</t>
  </si>
  <si>
    <t>Sproles</t>
  </si>
  <si>
    <t>Slope</t>
  </si>
  <si>
    <t>Y-Intercept</t>
  </si>
  <si>
    <t>Rounding Digit</t>
  </si>
  <si>
    <t>Bonus</t>
  </si>
  <si>
    <t>Equity</t>
  </si>
  <si>
    <t>1 day per week</t>
  </si>
  <si>
    <t>0 days per week</t>
  </si>
  <si>
    <t>Immediately - Stanfield drops out of GSB now</t>
  </si>
  <si>
    <t>Three Months - Stanfield finishes first year of GSB</t>
  </si>
  <si>
    <t>Fifteen Months - Stanfield joins after graduating GSB</t>
  </si>
  <si>
    <t>No start</t>
  </si>
  <si>
    <r>
      <t xml:space="preserve">You can enter new values above to calculate new point values. The last two issues have only a few options in dropdown menus that appear when you click the cell. </t>
    </r>
    <r>
      <rPr>
        <b/>
        <sz val="18"/>
        <color theme="1"/>
        <rFont val="Calibri"/>
        <family val="2"/>
      </rPr>
      <t xml:space="preserve">Note that if Start Date is "No start", there is no deal so all other points will be zero. </t>
    </r>
  </si>
  <si>
    <t>A</t>
  </si>
  <si>
    <t>B</t>
  </si>
  <si>
    <t>C</t>
  </si>
  <si>
    <t>Weight</t>
  </si>
  <si>
    <t>Signing Bonus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</si>
</sst>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00000"/>
  </numFmts>
  <fonts count="8" x14ac:knownFonts="1">
    <font>
      <sz val="12"/>
      <color theme="1"/>
      <name val="Arial"/>
    </font>
    <font>
      <sz val="12"/>
      <color theme="1"/>
      <name val="Arial"/>
      <family val="2"/>
    </font>
    <font>
      <i/>
      <u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u/>
      <sz val="18"/>
      <color theme="1"/>
      <name val="Calibri"/>
      <family val="2"/>
    </font>
    <font>
      <sz val="18"/>
      <color theme="1"/>
      <name val="Calibri"/>
      <family val="2"/>
    </font>
    <font>
      <b/>
      <sz val="1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3" borderId="0" xfId="0" applyFont="1" applyFill="1"/>
    <xf numFmtId="2" fontId="3" fillId="3" borderId="0" xfId="0" applyNumberFormat="1" applyFont="1" applyFill="1"/>
    <xf numFmtId="6" fontId="3" fillId="0" borderId="0" xfId="0" applyNumberFormat="1" applyFont="1"/>
    <xf numFmtId="2" fontId="3" fillId="0" borderId="0" xfId="0" applyNumberFormat="1" applyFont="1"/>
    <xf numFmtId="164" fontId="3" fillId="0" borderId="0" xfId="0" applyNumberFormat="1" applyFont="1"/>
    <xf numFmtId="8" fontId="3" fillId="0" borderId="0" xfId="0" applyNumberFormat="1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/>
    <xf numFmtId="0" fontId="7" fillId="0" borderId="0" xfId="0" applyFont="1"/>
    <xf numFmtId="3" fontId="6" fillId="2" borderId="0" xfId="0" applyNumberFormat="1" applyFont="1" applyFill="1"/>
    <xf numFmtId="10" fontId="6" fillId="2" borderId="0" xfId="1" applyNumberFormat="1" applyFont="1" applyFill="1" applyAlignment="1"/>
    <xf numFmtId="10" fontId="6" fillId="2" borderId="0" xfId="1" applyNumberFormat="1" applyFont="1" applyFill="1" applyAlignment="1">
      <alignment horizontal="right"/>
    </xf>
    <xf numFmtId="3" fontId="6" fillId="2" borderId="0" xfId="0" applyNumberFormat="1" applyFont="1" applyFill="1" applyAlignment="1">
      <alignment horizontal="right"/>
    </xf>
    <xf numFmtId="0" fontId="6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F6979-B91A-9B44-93C9-30A2F64B516B}">
  <sheetPr codeName="Sheet1"/>
  <dimension ref="B3:D18"/>
  <sheetViews>
    <sheetView showGridLines="0" tabSelected="1" zoomScaleNormal="100" workbookViewId="0">
      <selection activeCell="C9" sqref="C9"/>
    </sheetView>
  </sheetViews>
  <sheetFormatPr baseColWidth="10" defaultRowHeight="16" x14ac:dyDescent="0.2"/>
  <cols>
    <col min="1" max="1" width="10.7109375" style="2"/>
    <col min="2" max="2" width="19.5703125" style="2" customWidth="1"/>
    <col min="3" max="3" width="58.5703125" style="2" customWidth="1"/>
    <col min="4" max="4" width="18.7109375" style="2" customWidth="1"/>
    <col min="5" max="16384" width="10.7109375" style="2"/>
  </cols>
  <sheetData>
    <row r="3" spans="2:4" ht="24" x14ac:dyDescent="0.3">
      <c r="B3" s="11" t="s">
        <v>1</v>
      </c>
      <c r="C3" s="12"/>
      <c r="D3" s="12"/>
    </row>
    <row r="4" spans="2:4" ht="24" x14ac:dyDescent="0.3">
      <c r="B4" s="12"/>
      <c r="C4" s="12"/>
      <c r="D4" s="12"/>
    </row>
    <row r="5" spans="2:4" ht="24" x14ac:dyDescent="0.3">
      <c r="B5" s="13"/>
      <c r="C5" s="13" t="s">
        <v>0</v>
      </c>
      <c r="D5" s="13" t="s">
        <v>1</v>
      </c>
    </row>
    <row r="6" spans="2:4" ht="24" x14ac:dyDescent="0.3">
      <c r="B6" s="12" t="s">
        <v>2</v>
      </c>
      <c r="C6" s="14">
        <v>120000</v>
      </c>
      <c r="D6" s="12">
        <f>'Point System Weightings'!C9</f>
        <v>4078</v>
      </c>
    </row>
    <row r="7" spans="2:4" ht="24" x14ac:dyDescent="0.3">
      <c r="B7" s="12" t="s">
        <v>27</v>
      </c>
      <c r="C7" s="14">
        <v>20000</v>
      </c>
      <c r="D7" s="12">
        <f>'Point System Weightings'!C18</f>
        <v>300</v>
      </c>
    </row>
    <row r="8" spans="2:4" ht="24" x14ac:dyDescent="0.3">
      <c r="B8" s="12" t="s">
        <v>3</v>
      </c>
      <c r="C8" s="15">
        <v>0.03</v>
      </c>
      <c r="D8" s="12">
        <f>'Point System Weightings'!C23</f>
        <v>-6900</v>
      </c>
    </row>
    <row r="9" spans="2:4" ht="24" x14ac:dyDescent="0.3">
      <c r="B9" s="12" t="s">
        <v>4</v>
      </c>
      <c r="C9" s="16" t="s">
        <v>5</v>
      </c>
      <c r="D9" s="12">
        <f>'Point System Weightings'!C28</f>
        <v>2250</v>
      </c>
    </row>
    <row r="10" spans="2:4" ht="24" x14ac:dyDescent="0.3">
      <c r="B10" s="12" t="s">
        <v>6</v>
      </c>
      <c r="C10" s="17" t="s">
        <v>18</v>
      </c>
      <c r="D10" s="12">
        <f>'Point System Weightings'!C34</f>
        <v>12500</v>
      </c>
    </row>
    <row r="11" spans="2:4" ht="24" x14ac:dyDescent="0.3">
      <c r="B11" s="13" t="s">
        <v>7</v>
      </c>
      <c r="C11" s="12"/>
      <c r="D11" s="13">
        <f>SUM('Sproles'' Input Sheet'!D6:D10)</f>
        <v>12228</v>
      </c>
    </row>
    <row r="12" spans="2:4" ht="24" x14ac:dyDescent="0.3">
      <c r="B12" s="12"/>
      <c r="C12" s="12"/>
      <c r="D12" s="12"/>
    </row>
    <row r="13" spans="2:4" ht="48" customHeight="1" x14ac:dyDescent="0.3">
      <c r="B13" s="12"/>
      <c r="C13" s="18" t="s">
        <v>22</v>
      </c>
      <c r="D13" s="12"/>
    </row>
    <row r="14" spans="2:4" x14ac:dyDescent="0.2">
      <c r="C14" s="18"/>
    </row>
    <row r="15" spans="2:4" x14ac:dyDescent="0.2">
      <c r="C15" s="18"/>
    </row>
    <row r="16" spans="2:4" x14ac:dyDescent="0.2">
      <c r="C16" s="18"/>
    </row>
    <row r="17" spans="3:3" x14ac:dyDescent="0.2">
      <c r="C17" s="18"/>
    </row>
    <row r="18" spans="3:3" x14ac:dyDescent="0.2">
      <c r="C18" s="18"/>
    </row>
  </sheetData>
  <mergeCells count="1">
    <mergeCell ref="C13:C18"/>
  </mergeCells>
  <dataValidations count="1">
    <dataValidation type="whole" allowBlank="1" showInputMessage="1" showErrorMessage="1" sqref="C6:C7" xr:uid="{ABB28A3D-BDA2-454D-A6F3-51CD72C608AF}">
      <formula1>0</formula1>
      <formula2>1000000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24BB69D-9421-3743-85D2-F4A92807D3A2}">
          <x14:formula1>
            <xm:f>'Point System Weightings'!$A$26:$A$28</xm:f>
          </x14:formula1>
          <xm:sqref>C9</xm:sqref>
        </x14:dataValidation>
        <x14:dataValidation type="list" allowBlank="1" showInputMessage="1" showErrorMessage="1" xr:uid="{F539E617-4B2B-2F4E-B0A4-019CA1EE1553}">
          <x14:formula1>
            <xm:f>'Point System Weightings'!$A$31:$A$34</xm:f>
          </x14:formula1>
          <xm:sqref>C10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26E5-5653-804B-A60D-5C95A10C6EB3}">
  <sheetPr codeName="Sheet2"/>
  <dimension ref="A1:J34"/>
  <sheetViews>
    <sheetView workbookViewId="0">
      <selection activeCell="B32" sqref="B32"/>
    </sheetView>
  </sheetViews>
  <sheetFormatPr baseColWidth="10" defaultRowHeight="16" x14ac:dyDescent="0.2"/>
  <cols>
    <col min="1" max="1" width="30.140625" style="2" customWidth="1"/>
    <col min="2" max="16384" width="10.7109375" style="2"/>
  </cols>
  <sheetData>
    <row r="1" spans="1:7" x14ac:dyDescent="0.2">
      <c r="A1" s="1" t="s">
        <v>8</v>
      </c>
    </row>
    <row r="3" spans="1:7" x14ac:dyDescent="0.2">
      <c r="A3" s="3" t="s">
        <v>9</v>
      </c>
      <c r="B3" s="2" t="s">
        <v>10</v>
      </c>
    </row>
    <row r="4" spans="1:7" x14ac:dyDescent="0.2">
      <c r="A4" s="2" t="s">
        <v>11</v>
      </c>
      <c r="B4" s="4">
        <f>-1/15</f>
        <v>-6.6666666666666666E-2</v>
      </c>
    </row>
    <row r="5" spans="1:7" x14ac:dyDescent="0.2">
      <c r="A5" s="2" t="s">
        <v>23</v>
      </c>
      <c r="B5" s="4">
        <v>20000</v>
      </c>
    </row>
    <row r="6" spans="1:7" x14ac:dyDescent="0.2">
      <c r="A6" s="2" t="s">
        <v>24</v>
      </c>
      <c r="B6" s="4">
        <v>200000</v>
      </c>
    </row>
    <row r="7" spans="1:7" x14ac:dyDescent="0.2">
      <c r="A7" s="2" t="s">
        <v>25</v>
      </c>
      <c r="B7" s="4">
        <v>300000</v>
      </c>
    </row>
    <row r="8" spans="1:7" x14ac:dyDescent="0.2">
      <c r="A8" s="2" t="s">
        <v>12</v>
      </c>
      <c r="B8" s="5">
        <v>13500</v>
      </c>
    </row>
    <row r="9" spans="1:7" x14ac:dyDescent="0.2">
      <c r="A9" s="2" t="s">
        <v>13</v>
      </c>
      <c r="B9" s="4">
        <v>0</v>
      </c>
      <c r="C9" s="2">
        <f>IF('Sproles'' Input Sheet'!C10=$A$34,0,ROUND(B4*'Sproles'' Input Sheet'!C6-B5*POWER(('Sproles'' Input Sheet'!C6-B6)/B7,2)+B8,'Point System Weightings'!B9))</f>
        <v>4078</v>
      </c>
    </row>
    <row r="11" spans="1:7" x14ac:dyDescent="0.2">
      <c r="A11" s="3" t="s">
        <v>14</v>
      </c>
      <c r="B11" s="2" t="s">
        <v>10</v>
      </c>
    </row>
    <row r="12" spans="1:7" x14ac:dyDescent="0.2">
      <c r="A12" s="3" t="s">
        <v>26</v>
      </c>
      <c r="B12" s="2">
        <v>0.15</v>
      </c>
    </row>
    <row r="13" spans="1:7" x14ac:dyDescent="0.2">
      <c r="A13" s="2" t="s">
        <v>11</v>
      </c>
      <c r="B13" s="4">
        <f>-1/10</f>
        <v>-0.1</v>
      </c>
      <c r="G13" s="6"/>
    </row>
    <row r="14" spans="1:7" x14ac:dyDescent="0.2">
      <c r="A14" s="2" t="s">
        <v>23</v>
      </c>
      <c r="B14" s="4">
        <v>2000</v>
      </c>
      <c r="G14" s="6"/>
    </row>
    <row r="15" spans="1:7" x14ac:dyDescent="0.2">
      <c r="A15" s="2" t="s">
        <v>24</v>
      </c>
      <c r="B15" s="4">
        <v>20000</v>
      </c>
      <c r="G15" s="6"/>
    </row>
    <row r="16" spans="1:7" x14ac:dyDescent="0.2">
      <c r="A16" s="2" t="s">
        <v>25</v>
      </c>
      <c r="B16" s="4">
        <v>30000</v>
      </c>
      <c r="G16" s="6"/>
    </row>
    <row r="17" spans="1:10" x14ac:dyDescent="0.2">
      <c r="A17" s="2" t="s">
        <v>12</v>
      </c>
      <c r="B17" s="5">
        <v>4000</v>
      </c>
      <c r="C17" s="7"/>
      <c r="G17" s="8"/>
      <c r="J17" s="9"/>
    </row>
    <row r="18" spans="1:10" x14ac:dyDescent="0.2">
      <c r="A18" s="2" t="s">
        <v>13</v>
      </c>
      <c r="B18" s="4">
        <v>0</v>
      </c>
      <c r="C18" s="2">
        <f>IF('Sproles'' Input Sheet'!C10=$A$34,0,ROUND(B12*(B13*'Sproles'' Input Sheet'!C7-B14*POWER(('Sproles'' Input Sheet'!C7-B15)/B16,2)+B17),'Point System Weightings'!B18))</f>
        <v>300</v>
      </c>
      <c r="J18" s="9"/>
    </row>
    <row r="20" spans="1:10" x14ac:dyDescent="0.2">
      <c r="A20" s="3" t="s">
        <v>15</v>
      </c>
      <c r="B20" s="2" t="s">
        <v>10</v>
      </c>
    </row>
    <row r="21" spans="1:10" x14ac:dyDescent="0.2">
      <c r="A21" s="2" t="s">
        <v>11</v>
      </c>
      <c r="B21" s="4">
        <v>-10500</v>
      </c>
    </row>
    <row r="22" spans="1:10" x14ac:dyDescent="0.2">
      <c r="A22" s="2" t="s">
        <v>23</v>
      </c>
      <c r="B22" s="4">
        <v>-75000</v>
      </c>
    </row>
    <row r="23" spans="1:10" x14ac:dyDescent="0.2">
      <c r="A23" s="2" t="s">
        <v>12</v>
      </c>
      <c r="B23" s="5">
        <v>3000</v>
      </c>
      <c r="C23" s="2">
        <f>IF('Sproles'' Input Sheet'!C10=$A$34,0,ROUND(B21*10*'Sproles'' Input Sheet'!C8+B22*POWER('Sproles'' Input Sheet'!C8*10,2)+B23,0))</f>
        <v>-6900</v>
      </c>
    </row>
    <row r="25" spans="1:10" x14ac:dyDescent="0.2">
      <c r="A25" s="3" t="s">
        <v>4</v>
      </c>
    </row>
    <row r="26" spans="1:10" x14ac:dyDescent="0.2">
      <c r="A26" s="2" t="s">
        <v>5</v>
      </c>
      <c r="B26" s="4">
        <v>2250</v>
      </c>
    </row>
    <row r="27" spans="1:10" x14ac:dyDescent="0.2">
      <c r="A27" s="2" t="s">
        <v>16</v>
      </c>
      <c r="B27" s="4">
        <v>1500</v>
      </c>
    </row>
    <row r="28" spans="1:10" x14ac:dyDescent="0.2">
      <c r="A28" s="2" t="s">
        <v>17</v>
      </c>
      <c r="B28" s="4">
        <v>750</v>
      </c>
      <c r="C28" s="2">
        <f>IF('Sproles'' Input Sheet'!$C$10=$A$34,0,INDEX(B26:B28,MATCH('Sproles'' Input Sheet'!$C$9,$A$26:$A$28,0)))</f>
        <v>2250</v>
      </c>
    </row>
    <row r="30" spans="1:10" x14ac:dyDescent="0.2">
      <c r="A30" s="3" t="s">
        <v>6</v>
      </c>
      <c r="B30" s="2" t="s">
        <v>10</v>
      </c>
    </row>
    <row r="31" spans="1:10" x14ac:dyDescent="0.2">
      <c r="A31" s="10" t="s">
        <v>18</v>
      </c>
      <c r="B31" s="4">
        <v>12500</v>
      </c>
    </row>
    <row r="32" spans="1:10" x14ac:dyDescent="0.2">
      <c r="A32" s="10" t="s">
        <v>19</v>
      </c>
      <c r="B32" s="4">
        <v>3750</v>
      </c>
    </row>
    <row r="33" spans="1:3" x14ac:dyDescent="0.2">
      <c r="A33" s="10" t="s">
        <v>20</v>
      </c>
      <c r="B33" s="4">
        <v>1250</v>
      </c>
    </row>
    <row r="34" spans="1:3" x14ac:dyDescent="0.2">
      <c r="A34" s="10" t="s">
        <v>21</v>
      </c>
      <c r="B34" s="4">
        <v>10000</v>
      </c>
      <c r="C34" s="2">
        <f>INDEX(B31:B34,MATCH('Sproles'' Input Sheet'!C10,A31:A34,0))</f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Sproles' Input Sheet</vt:lpstr>
      <vt:lpstr>Point System Weightings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Brent C. Westbrook</dc:creator>
  <cp:lastModifiedBy>Jon A</cp:lastModifiedBy>
  <dcterms:created xsi:type="dcterms:W3CDTF">2022-04-12T04:59:35Z</dcterms:created>
  <dcterms:modified xsi:type="dcterms:W3CDTF">2023-04-13T22:26:00Z</dcterms:modified>
</cp:coreProperties>
</file>